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AD\CATIA_V5\TheCADMan\The Basics - Tutorial 5 (Wireframe &amp; Surfacing) Wing Design with Excel Geometry Exporting\"/>
    </mc:Choice>
  </mc:AlternateContent>
  <xr:revisionPtr revIDLastSave="0" documentId="13_ncr:1_{FC838190-CA54-413B-9D12-2067D69E00D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euil1" sheetId="1" r:id="rId1"/>
    <sheet name="Feuil2" sheetId="2" r:id="rId2"/>
    <sheet name="Feuil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" l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40" i="1"/>
  <c r="G2" i="1"/>
  <c r="I2" i="1"/>
  <c r="K2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77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tc={200E7A3B-4370-4BC7-9502-A53A8C89F7B4}</author>
  </authors>
  <commentList>
    <comment ref="L1" authorId="0" shapeId="0" xr:uid="{200E7A3B-4370-4BC7-9502-A53A8C89F7B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HowToUse:
Create GeometricalSet in CATIA GSD assigns as "GeometryFromExcel" and "Define In Work Object", then run the macro "Feuil1.Main".</t>
      </text>
    </comment>
  </commentList>
</comments>
</file>

<file path=xl/sharedStrings.xml><?xml version="1.0" encoding="utf-8"?>
<sst xmlns="http://schemas.openxmlformats.org/spreadsheetml/2006/main" count="26" uniqueCount="22">
  <si>
    <t>StartCurve</t>
  </si>
  <si>
    <t>EndCurve</t>
  </si>
  <si>
    <t>StartLoft</t>
  </si>
  <si>
    <t>EndLoft</t>
  </si>
  <si>
    <t>End</t>
  </si>
  <si>
    <t>X</t>
  </si>
  <si>
    <t>Y</t>
  </si>
  <si>
    <t>Z</t>
  </si>
  <si>
    <t>Chord1</t>
  </si>
  <si>
    <t>Chord2</t>
  </si>
  <si>
    <t>Chord3</t>
  </si>
  <si>
    <t>Span1</t>
  </si>
  <si>
    <t>Span2</t>
  </si>
  <si>
    <t>Span3</t>
  </si>
  <si>
    <t>Displacement1</t>
  </si>
  <si>
    <t>Displacement2</t>
  </si>
  <si>
    <t>Displacement3</t>
  </si>
  <si>
    <t>NACA Profile:</t>
  </si>
  <si>
    <t>http://airfoiltools.com/airfoil/details?airfoil=naca4412-il</t>
  </si>
  <si>
    <t>http://www.staff.city.ac.uk/~ra600/ME2105/Catia%20course/CATIA%20Tutorials/wfsug_C2/wfsugbt0317.htm</t>
  </si>
  <si>
    <t>https://wright.grc.nasa.gov/airplane/geom.html</t>
  </si>
  <si>
    <t>Sources: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</si>
</sst>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9"/>
      <color indexed="81"/>
      <name val="Tahoma"/>
      <charset val="1"/>
    </font>
    <font>
      <u/>
      <sz val="10"/>
      <color theme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</xdr:row>
      <xdr:rowOff>38100</xdr:rowOff>
    </xdr:from>
    <xdr:to>
      <xdr:col>18</xdr:col>
      <xdr:colOff>600075</xdr:colOff>
      <xdr:row>34</xdr:row>
      <xdr:rowOff>104775</xdr:rowOff>
    </xdr:to>
    <xdr:pic>
      <xdr:nvPicPr>
        <xdr:cNvPr id="2" name="Picture 1" descr="Computer drawing of an airliner wing viewed from the top. front and&#10; side with labeled geometric variables.">
          <a:extLst>
            <a:ext uri="{FF2B5EF4-FFF2-40B4-BE49-F238E27FC236}">
              <a16:creationId xmlns:a16="http://schemas.microsoft.com/office/drawing/2014/main" id="{70305A54-D9DF-1927-4878-8E75FDF22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171575"/>
          <a:ext cx="5924550" cy="443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bdulHafeez S." id="{FDC82F30-F8B9-4F85-8C26-ADA611C93D83}" userId="98440c8f0e2d38c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" dT="2022-12-15T08:14:49.66" personId="{FDC82F30-F8B9-4F85-8C26-ADA611C93D83}" id="{200E7A3B-4370-4BC7-9502-A53A8C89F7B4}">
    <text>HowToUse:
Create GeometricalSet in CATIA GSD assigns as "GeometryFromExcel" and "Define In Work Object", then run the macro "Feuil1.Main".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right.grc.nasa.gov/airplane/geom.html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staff.city.ac.uk/~ra600/ME2105/Catia%20course/CATIA%20Tutorials/wfsug_C2/wfsugbt0317.htm" TargetMode="External"/><Relationship Id="rId1" Type="http://schemas.openxmlformats.org/officeDocument/2006/relationships/hyperlink" Target="http://airfoiltools.com/airfoil/details?airfoil=naca4412-i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S114"/>
  <sheetViews>
    <sheetView tabSelected="1" workbookViewId="0">
      <selection activeCell="J13" sqref="J13"/>
    </sheetView>
  </sheetViews>
  <sheetFormatPr defaultColWidth="11.42578125" defaultRowHeight="12.75" x14ac:dyDescent="0.2"/>
  <cols>
    <col min="10" max="10" width="13.42578125" bestFit="1" customWidth="1"/>
  </cols>
  <sheetData>
    <row r="1" spans="1:19" x14ac:dyDescent="0.2">
      <c r="A1" t="s">
        <v>2</v>
      </c>
      <c r="F1" s="2" t="s">
        <v>8</v>
      </c>
      <c r="G1" s="3">
        <v>2000</v>
      </c>
      <c r="H1" s="2" t="s">
        <v>11</v>
      </c>
      <c r="I1" s="3">
        <v>0</v>
      </c>
      <c r="J1" s="2" t="s">
        <v>14</v>
      </c>
      <c r="K1" s="3">
        <v>0</v>
      </c>
      <c r="L1" s="4"/>
      <c r="M1" s="4"/>
      <c r="N1" s="4"/>
      <c r="O1" s="4"/>
      <c r="P1" s="4"/>
      <c r="Q1" s="4"/>
      <c r="R1" s="4"/>
    </row>
    <row r="2" spans="1:19" x14ac:dyDescent="0.2">
      <c r="A2" t="s">
        <v>0</v>
      </c>
      <c r="F2" s="2" t="s">
        <v>9</v>
      </c>
      <c r="G2" s="3">
        <f>(2000/5)*4</f>
        <v>1600</v>
      </c>
      <c r="H2" s="2" t="s">
        <v>12</v>
      </c>
      <c r="I2" s="3">
        <f>(5000/5)*2</f>
        <v>2000</v>
      </c>
      <c r="J2" s="2" t="s">
        <v>15</v>
      </c>
      <c r="K2" s="3">
        <f>(1000/5)*2</f>
        <v>400</v>
      </c>
      <c r="L2" s="4"/>
      <c r="M2" s="4"/>
      <c r="N2" s="4"/>
      <c r="O2" s="4"/>
      <c r="P2" s="4"/>
      <c r="Q2" s="4"/>
      <c r="R2" s="4"/>
    </row>
    <row r="3" spans="1:19" x14ac:dyDescent="0.2">
      <c r="A3">
        <f>G5*$G$1</f>
        <v>2000</v>
      </c>
      <c r="B3">
        <f>$I$1</f>
        <v>0</v>
      </c>
      <c r="C3">
        <f>H5*$G$1</f>
        <v>2.6</v>
      </c>
      <c r="F3" s="2" t="s">
        <v>10</v>
      </c>
      <c r="G3" s="3">
        <v>1000</v>
      </c>
      <c r="H3" s="2" t="s">
        <v>13</v>
      </c>
      <c r="I3" s="3">
        <v>5000</v>
      </c>
      <c r="J3" s="2" t="s">
        <v>16</v>
      </c>
      <c r="K3" s="3">
        <v>1000</v>
      </c>
      <c r="L3" s="4"/>
      <c r="M3" s="4"/>
      <c r="N3" s="4"/>
      <c r="O3" s="4"/>
      <c r="P3" s="4"/>
      <c r="Q3" s="4"/>
      <c r="R3" s="4"/>
    </row>
    <row r="4" spans="1:19" x14ac:dyDescent="0.2">
      <c r="A4">
        <f>G6*$G$1</f>
        <v>1900</v>
      </c>
      <c r="B4">
        <f t="shared" ref="B4:B37" si="0">$I$1</f>
        <v>0</v>
      </c>
      <c r="C4">
        <f>H6*$G$1</f>
        <v>29.4</v>
      </c>
      <c r="G4" s="5" t="s">
        <v>5</v>
      </c>
      <c r="H4" s="5" t="s">
        <v>7</v>
      </c>
      <c r="I4" s="5" t="s">
        <v>6</v>
      </c>
      <c r="L4" s="4"/>
      <c r="M4" s="4"/>
      <c r="N4" s="4"/>
      <c r="O4" s="4"/>
      <c r="P4" s="4"/>
      <c r="Q4" s="4"/>
      <c r="R4" s="4"/>
    </row>
    <row r="5" spans="1:19" x14ac:dyDescent="0.2">
      <c r="A5">
        <f>G7*$G$1</f>
        <v>1800</v>
      </c>
      <c r="B5">
        <f t="shared" si="0"/>
        <v>0</v>
      </c>
      <c r="C5">
        <f>H7*$G$1</f>
        <v>54.199999999999996</v>
      </c>
      <c r="G5" s="5">
        <v>1</v>
      </c>
      <c r="H5" s="5">
        <v>1.2999999999999999E-3</v>
      </c>
      <c r="I5" s="5">
        <v>0</v>
      </c>
      <c r="L5" s="4"/>
      <c r="M5" s="4"/>
      <c r="N5" s="4"/>
      <c r="O5" s="4"/>
      <c r="P5" s="4"/>
      <c r="Q5" s="4"/>
      <c r="R5" s="4"/>
    </row>
    <row r="6" spans="1:19" x14ac:dyDescent="0.2">
      <c r="A6">
        <f>G8*$G$1</f>
        <v>1600</v>
      </c>
      <c r="B6">
        <f t="shared" si="0"/>
        <v>0</v>
      </c>
      <c r="C6">
        <f>H8*$G$1</f>
        <v>97.8</v>
      </c>
      <c r="G6" s="5">
        <v>0.95</v>
      </c>
      <c r="H6" s="5">
        <v>1.47E-2</v>
      </c>
      <c r="I6" s="5">
        <v>0</v>
      </c>
    </row>
    <row r="7" spans="1:19" x14ac:dyDescent="0.2">
      <c r="A7">
        <f>G9*$G$1</f>
        <v>1400</v>
      </c>
      <c r="B7">
        <f t="shared" si="0"/>
        <v>0</v>
      </c>
      <c r="C7">
        <f>H9*$G$1</f>
        <v>133.80000000000001</v>
      </c>
      <c r="G7" s="5">
        <v>0.9</v>
      </c>
      <c r="H7" s="5">
        <v>2.7099999999999999E-2</v>
      </c>
      <c r="I7" s="5">
        <v>0</v>
      </c>
      <c r="L7" s="4" t="s">
        <v>17</v>
      </c>
      <c r="M7" s="4"/>
      <c r="N7" s="3">
        <v>4412</v>
      </c>
      <c r="O7" s="6" t="s">
        <v>18</v>
      </c>
    </row>
    <row r="8" spans="1:19" x14ac:dyDescent="0.2">
      <c r="A8">
        <f>G10*$G$1</f>
        <v>1200</v>
      </c>
      <c r="B8">
        <f t="shared" si="0"/>
        <v>0</v>
      </c>
      <c r="C8">
        <f>H10*$G$1</f>
        <v>162.80000000000001</v>
      </c>
      <c r="G8" s="5">
        <v>0.8</v>
      </c>
      <c r="H8" s="5">
        <v>4.8899999999999999E-2</v>
      </c>
      <c r="I8" s="5">
        <v>0</v>
      </c>
      <c r="L8" s="4"/>
      <c r="M8" s="4"/>
      <c r="N8" s="4"/>
      <c r="O8" s="4"/>
      <c r="P8" s="4"/>
      <c r="Q8" s="4"/>
      <c r="R8" s="4"/>
      <c r="S8" s="4"/>
    </row>
    <row r="9" spans="1:19" x14ac:dyDescent="0.2">
      <c r="A9">
        <f>G11*$G$1</f>
        <v>1000</v>
      </c>
      <c r="B9">
        <f t="shared" si="0"/>
        <v>0</v>
      </c>
      <c r="C9">
        <f>H11*$G$1</f>
        <v>183.79999999999998</v>
      </c>
      <c r="G9" s="5">
        <v>0.7</v>
      </c>
      <c r="H9" s="5">
        <v>6.6900000000000001E-2</v>
      </c>
      <c r="I9" s="5">
        <v>0</v>
      </c>
      <c r="L9" s="4"/>
      <c r="M9" s="4"/>
      <c r="N9" s="4"/>
      <c r="O9" s="4"/>
      <c r="P9" s="4"/>
      <c r="Q9" s="4"/>
      <c r="R9" s="4"/>
      <c r="S9" s="4"/>
    </row>
    <row r="10" spans="1:19" x14ac:dyDescent="0.2">
      <c r="A10">
        <f>G12*$G$1</f>
        <v>800</v>
      </c>
      <c r="B10">
        <f t="shared" si="0"/>
        <v>0</v>
      </c>
      <c r="C10">
        <f>H12*$G$1</f>
        <v>196</v>
      </c>
      <c r="G10" s="5">
        <v>0.6</v>
      </c>
      <c r="H10" s="5">
        <v>8.14E-2</v>
      </c>
      <c r="I10" s="5">
        <v>0</v>
      </c>
      <c r="L10" s="4"/>
      <c r="M10" s="4"/>
      <c r="N10" s="4"/>
      <c r="O10" s="4"/>
      <c r="P10" s="4"/>
      <c r="Q10" s="4"/>
      <c r="R10" s="4"/>
      <c r="S10" s="4"/>
    </row>
    <row r="11" spans="1:19" x14ac:dyDescent="0.2">
      <c r="A11">
        <f>G13*$G$1</f>
        <v>600</v>
      </c>
      <c r="B11">
        <f t="shared" si="0"/>
        <v>0</v>
      </c>
      <c r="C11">
        <f>H13*$G$1</f>
        <v>195.20000000000002</v>
      </c>
      <c r="G11" s="5">
        <v>0.5</v>
      </c>
      <c r="H11" s="5">
        <v>9.1899999999999996E-2</v>
      </c>
      <c r="I11" s="5">
        <v>0</v>
      </c>
      <c r="L11" s="4"/>
      <c r="M11" s="4"/>
      <c r="N11" s="4"/>
      <c r="O11" s="4"/>
      <c r="P11" s="4"/>
      <c r="Q11" s="4"/>
      <c r="R11" s="4"/>
      <c r="S11" s="4"/>
    </row>
    <row r="12" spans="1:19" x14ac:dyDescent="0.2">
      <c r="A12">
        <f>G14*$G$1</f>
        <v>500</v>
      </c>
      <c r="B12">
        <f t="shared" si="0"/>
        <v>0</v>
      </c>
      <c r="C12">
        <f>H14*$G$1</f>
        <v>188.20000000000002</v>
      </c>
      <c r="G12" s="5">
        <v>0.4</v>
      </c>
      <c r="H12" s="5">
        <v>9.8000000000000004E-2</v>
      </c>
      <c r="I12" s="5">
        <v>0</v>
      </c>
      <c r="L12" s="4"/>
      <c r="M12" s="4"/>
      <c r="N12" s="4"/>
      <c r="O12" s="4"/>
      <c r="P12" s="4"/>
      <c r="Q12" s="4"/>
      <c r="R12" s="4"/>
      <c r="S12" s="4"/>
    </row>
    <row r="13" spans="1:19" x14ac:dyDescent="0.2">
      <c r="A13">
        <f>G15*$G$1</f>
        <v>400</v>
      </c>
      <c r="B13">
        <f t="shared" si="0"/>
        <v>0</v>
      </c>
      <c r="C13">
        <f>H15*$G$1</f>
        <v>176</v>
      </c>
      <c r="G13" s="5">
        <v>0.3</v>
      </c>
      <c r="H13" s="5">
        <v>9.7600000000000006E-2</v>
      </c>
      <c r="I13" s="5">
        <v>0</v>
      </c>
      <c r="L13" s="4"/>
      <c r="M13" s="4"/>
      <c r="N13" s="4"/>
      <c r="O13" s="4"/>
      <c r="P13" s="4"/>
      <c r="Q13" s="4"/>
      <c r="R13" s="4"/>
      <c r="S13" s="4"/>
    </row>
    <row r="14" spans="1:19" x14ac:dyDescent="0.2">
      <c r="A14">
        <f>G16*$G$1</f>
        <v>300</v>
      </c>
      <c r="B14">
        <f t="shared" si="0"/>
        <v>0</v>
      </c>
      <c r="C14">
        <f>H16*$G$1</f>
        <v>157.79999999999998</v>
      </c>
      <c r="G14" s="5">
        <v>0.25</v>
      </c>
      <c r="H14" s="5">
        <v>9.4100000000000003E-2</v>
      </c>
      <c r="I14" s="5">
        <v>0</v>
      </c>
      <c r="L14" s="4"/>
      <c r="M14" s="4"/>
      <c r="N14" s="4"/>
      <c r="O14" s="4"/>
      <c r="P14" s="4"/>
      <c r="Q14" s="4"/>
      <c r="R14" s="4"/>
      <c r="S14" s="4"/>
    </row>
    <row r="15" spans="1:19" x14ac:dyDescent="0.2">
      <c r="A15">
        <f>G17*$G$1</f>
        <v>200</v>
      </c>
      <c r="B15">
        <f t="shared" si="0"/>
        <v>0</v>
      </c>
      <c r="C15">
        <f>H17*$G$1</f>
        <v>131.80000000000001</v>
      </c>
      <c r="G15" s="5">
        <v>0.2</v>
      </c>
      <c r="H15" s="5">
        <v>8.7999999999999995E-2</v>
      </c>
      <c r="I15" s="5">
        <v>0</v>
      </c>
      <c r="L15" s="4"/>
      <c r="M15" s="4"/>
      <c r="N15" s="4"/>
      <c r="O15" s="4"/>
      <c r="P15" s="4"/>
      <c r="Q15" s="4"/>
      <c r="R15" s="4"/>
      <c r="S15" s="4"/>
    </row>
    <row r="16" spans="1:19" x14ac:dyDescent="0.2">
      <c r="A16">
        <f>G18*$G$1</f>
        <v>150</v>
      </c>
      <c r="B16">
        <f t="shared" si="0"/>
        <v>0</v>
      </c>
      <c r="C16">
        <f>H18*$G$1</f>
        <v>115.2</v>
      </c>
      <c r="G16" s="5">
        <v>0.15</v>
      </c>
      <c r="H16" s="5">
        <v>7.8899999999999998E-2</v>
      </c>
      <c r="I16" s="5">
        <v>0</v>
      </c>
      <c r="L16" s="4"/>
      <c r="M16" s="4"/>
      <c r="N16" s="4"/>
      <c r="O16" s="4"/>
      <c r="P16" s="4"/>
      <c r="Q16" s="4"/>
      <c r="R16" s="4"/>
      <c r="S16" s="4"/>
    </row>
    <row r="17" spans="1:19" x14ac:dyDescent="0.2">
      <c r="A17">
        <f>G19*$G$1</f>
        <v>100</v>
      </c>
      <c r="B17">
        <f t="shared" si="0"/>
        <v>0</v>
      </c>
      <c r="C17">
        <f>H19*$G$1</f>
        <v>94.600000000000009</v>
      </c>
      <c r="G17" s="5">
        <v>0.1</v>
      </c>
      <c r="H17" s="5">
        <v>6.59E-2</v>
      </c>
      <c r="I17" s="5">
        <v>0</v>
      </c>
      <c r="L17" s="4"/>
      <c r="M17" s="4"/>
      <c r="N17" s="4"/>
      <c r="O17" s="4"/>
      <c r="P17" s="4"/>
      <c r="Q17" s="4"/>
      <c r="R17" s="4"/>
      <c r="S17" s="4"/>
    </row>
    <row r="18" spans="1:19" x14ac:dyDescent="0.2">
      <c r="A18">
        <f>G20*$G$1</f>
        <v>50</v>
      </c>
      <c r="B18">
        <f t="shared" si="0"/>
        <v>0</v>
      </c>
      <c r="C18">
        <f>H20*$G$1</f>
        <v>67.8</v>
      </c>
      <c r="G18" s="5">
        <v>7.4999999999999997E-2</v>
      </c>
      <c r="H18" s="5">
        <v>5.7599999999999998E-2</v>
      </c>
      <c r="I18" s="5">
        <v>0</v>
      </c>
      <c r="L18" s="4"/>
      <c r="M18" s="4"/>
      <c r="N18" s="4"/>
      <c r="O18" s="4"/>
      <c r="P18" s="4"/>
      <c r="Q18" s="4"/>
      <c r="R18" s="4"/>
      <c r="S18" s="4"/>
    </row>
    <row r="19" spans="1:19" x14ac:dyDescent="0.2">
      <c r="A19">
        <f>G21*$G$1</f>
        <v>25</v>
      </c>
      <c r="B19">
        <f t="shared" si="0"/>
        <v>0</v>
      </c>
      <c r="C19">
        <f>H21*$G$1</f>
        <v>48.800000000000004</v>
      </c>
      <c r="G19" s="5">
        <v>0.05</v>
      </c>
      <c r="H19" s="5">
        <v>4.7300000000000002E-2</v>
      </c>
      <c r="I19" s="5">
        <v>0</v>
      </c>
      <c r="L19" s="4"/>
      <c r="M19" s="4"/>
      <c r="N19" s="4"/>
      <c r="O19" s="4"/>
      <c r="P19" s="4"/>
      <c r="Q19" s="4"/>
      <c r="R19" s="4"/>
      <c r="S19" s="4"/>
    </row>
    <row r="20" spans="1:19" x14ac:dyDescent="0.2">
      <c r="A20">
        <f>G22*$G$1</f>
        <v>0</v>
      </c>
      <c r="B20">
        <f t="shared" si="0"/>
        <v>0</v>
      </c>
      <c r="C20">
        <f>H22*$G$1</f>
        <v>0</v>
      </c>
      <c r="G20" s="5">
        <v>2.5000000000000001E-2</v>
      </c>
      <c r="H20" s="5">
        <v>3.39E-2</v>
      </c>
      <c r="I20" s="5">
        <v>0</v>
      </c>
      <c r="L20" s="4"/>
      <c r="M20" s="4"/>
      <c r="N20" s="4"/>
      <c r="O20" s="4"/>
      <c r="P20" s="4"/>
      <c r="Q20" s="4"/>
      <c r="R20" s="4"/>
      <c r="S20" s="4"/>
    </row>
    <row r="21" spans="1:19" x14ac:dyDescent="0.2">
      <c r="A21">
        <f>G23*$G$1</f>
        <v>25</v>
      </c>
      <c r="B21">
        <f t="shared" si="0"/>
        <v>0</v>
      </c>
      <c r="C21">
        <f>H23*$G$1</f>
        <v>-28.6</v>
      </c>
      <c r="G21" s="5">
        <v>1.2500000000000001E-2</v>
      </c>
      <c r="H21" s="5">
        <v>2.4400000000000002E-2</v>
      </c>
      <c r="I21" s="5">
        <v>0</v>
      </c>
      <c r="L21" s="4"/>
      <c r="M21" s="4"/>
      <c r="N21" s="4"/>
      <c r="O21" s="4"/>
      <c r="P21" s="4"/>
      <c r="Q21" s="4"/>
      <c r="R21" s="4"/>
      <c r="S21" s="4"/>
    </row>
    <row r="22" spans="1:19" x14ac:dyDescent="0.2">
      <c r="A22">
        <f>G24*$G$1</f>
        <v>50</v>
      </c>
      <c r="B22">
        <f t="shared" si="0"/>
        <v>0</v>
      </c>
      <c r="C22">
        <f>H24*$G$1</f>
        <v>-39</v>
      </c>
      <c r="G22" s="5">
        <v>0</v>
      </c>
      <c r="H22" s="5">
        <v>0</v>
      </c>
      <c r="I22" s="5">
        <v>0</v>
      </c>
      <c r="L22" s="4"/>
      <c r="M22" s="4"/>
      <c r="N22" s="4"/>
      <c r="O22" s="4"/>
      <c r="P22" s="4"/>
      <c r="Q22" s="4"/>
      <c r="R22" s="4"/>
      <c r="S22" s="4"/>
    </row>
    <row r="23" spans="1:19" x14ac:dyDescent="0.2">
      <c r="A23">
        <f>G25*$G$1</f>
        <v>100</v>
      </c>
      <c r="B23">
        <f t="shared" si="0"/>
        <v>0</v>
      </c>
      <c r="C23">
        <f>H25*$G$1</f>
        <v>-49.8</v>
      </c>
      <c r="G23" s="5">
        <v>1.2500000000000001E-2</v>
      </c>
      <c r="H23" s="5">
        <v>-1.43E-2</v>
      </c>
      <c r="I23" s="5">
        <v>0</v>
      </c>
      <c r="L23" s="4"/>
      <c r="M23" s="4"/>
      <c r="N23" s="4"/>
      <c r="O23" s="4"/>
      <c r="P23" s="4"/>
      <c r="Q23" s="4"/>
      <c r="R23" s="4"/>
      <c r="S23" s="4"/>
    </row>
    <row r="24" spans="1:19" x14ac:dyDescent="0.2">
      <c r="A24">
        <f>G26*$G$1</f>
        <v>150</v>
      </c>
      <c r="B24">
        <f t="shared" si="0"/>
        <v>0</v>
      </c>
      <c r="C24">
        <f>H26*$G$1</f>
        <v>-54.800000000000004</v>
      </c>
      <c r="G24" s="5">
        <v>2.5000000000000001E-2</v>
      </c>
      <c r="H24" s="5">
        <v>-1.95E-2</v>
      </c>
      <c r="I24" s="5">
        <v>0</v>
      </c>
      <c r="L24" s="4"/>
      <c r="M24" s="4"/>
      <c r="N24" s="4"/>
      <c r="O24" s="4"/>
      <c r="P24" s="4"/>
      <c r="Q24" s="4"/>
      <c r="R24" s="4"/>
      <c r="S24" s="4"/>
    </row>
    <row r="25" spans="1:19" x14ac:dyDescent="0.2">
      <c r="A25">
        <f>G27*$G$1</f>
        <v>200</v>
      </c>
      <c r="B25">
        <f t="shared" si="0"/>
        <v>0</v>
      </c>
      <c r="C25">
        <f>H27*$G$1</f>
        <v>-57.2</v>
      </c>
      <c r="G25" s="5">
        <v>0.05</v>
      </c>
      <c r="H25" s="5">
        <v>-2.4899999999999999E-2</v>
      </c>
      <c r="I25" s="5">
        <v>0</v>
      </c>
      <c r="L25" s="4"/>
      <c r="M25" s="4"/>
      <c r="N25" s="4"/>
      <c r="O25" s="4"/>
      <c r="P25" s="4"/>
      <c r="Q25" s="4"/>
      <c r="R25" s="4"/>
      <c r="S25" s="4"/>
    </row>
    <row r="26" spans="1:19" x14ac:dyDescent="0.2">
      <c r="A26">
        <f>G28*$G$1</f>
        <v>300</v>
      </c>
      <c r="B26">
        <f t="shared" si="0"/>
        <v>0</v>
      </c>
      <c r="C26">
        <f>H28*$G$1</f>
        <v>-57.6</v>
      </c>
      <c r="G26" s="5">
        <v>7.4999999999999997E-2</v>
      </c>
      <c r="H26" s="5">
        <v>-2.7400000000000001E-2</v>
      </c>
      <c r="I26" s="5">
        <v>0</v>
      </c>
      <c r="L26" s="4"/>
      <c r="M26" s="4"/>
      <c r="N26" s="4"/>
      <c r="O26" s="4"/>
      <c r="P26" s="4"/>
      <c r="Q26" s="4"/>
      <c r="R26" s="4"/>
      <c r="S26" s="4"/>
    </row>
    <row r="27" spans="1:19" x14ac:dyDescent="0.2">
      <c r="A27">
        <f>G29*$G$1</f>
        <v>400</v>
      </c>
      <c r="B27">
        <f t="shared" si="0"/>
        <v>0</v>
      </c>
      <c r="C27">
        <f>H29*$G$1</f>
        <v>-54.800000000000004</v>
      </c>
      <c r="G27" s="5">
        <v>0.1</v>
      </c>
      <c r="H27" s="5">
        <v>-2.86E-2</v>
      </c>
      <c r="I27" s="5">
        <v>0</v>
      </c>
      <c r="L27" s="4"/>
      <c r="M27" s="4"/>
      <c r="N27" s="4"/>
      <c r="O27" s="4"/>
      <c r="P27" s="4"/>
      <c r="Q27" s="4"/>
      <c r="R27" s="4"/>
      <c r="S27" s="4"/>
    </row>
    <row r="28" spans="1:19" x14ac:dyDescent="0.2">
      <c r="A28">
        <f>G30*$G$1</f>
        <v>500</v>
      </c>
      <c r="B28">
        <f t="shared" si="0"/>
        <v>0</v>
      </c>
      <c r="C28">
        <f>H30*$G$1</f>
        <v>-50</v>
      </c>
      <c r="G28" s="5">
        <v>0.15</v>
      </c>
      <c r="H28" s="5">
        <v>-2.8799999999999999E-2</v>
      </c>
      <c r="I28" s="5">
        <v>0</v>
      </c>
      <c r="L28" s="4"/>
      <c r="M28" s="4"/>
      <c r="N28" s="4"/>
      <c r="O28" s="4"/>
      <c r="P28" s="4"/>
      <c r="Q28" s="4"/>
      <c r="R28" s="4"/>
      <c r="S28" s="4"/>
    </row>
    <row r="29" spans="1:19" x14ac:dyDescent="0.2">
      <c r="A29">
        <f>G31*$G$1</f>
        <v>600</v>
      </c>
      <c r="B29">
        <f t="shared" si="0"/>
        <v>0</v>
      </c>
      <c r="C29">
        <f>H31*$G$1</f>
        <v>-45.199999999999996</v>
      </c>
      <c r="G29" s="5">
        <v>0.2</v>
      </c>
      <c r="H29" s="5">
        <v>-2.7400000000000001E-2</v>
      </c>
      <c r="I29" s="5">
        <v>0</v>
      </c>
      <c r="L29" s="4"/>
      <c r="M29" s="4"/>
      <c r="N29" s="4"/>
      <c r="O29" s="4"/>
      <c r="P29" s="4"/>
      <c r="Q29" s="4"/>
      <c r="R29" s="4"/>
      <c r="S29" s="4"/>
    </row>
    <row r="30" spans="1:19" x14ac:dyDescent="0.2">
      <c r="A30">
        <f>G32*$G$1</f>
        <v>800</v>
      </c>
      <c r="B30">
        <f t="shared" si="0"/>
        <v>0</v>
      </c>
      <c r="C30">
        <f>H32*$G$1</f>
        <v>-36</v>
      </c>
      <c r="G30" s="5">
        <v>0.25</v>
      </c>
      <c r="H30" s="5">
        <v>-2.5000000000000001E-2</v>
      </c>
      <c r="I30" s="5">
        <v>0</v>
      </c>
      <c r="L30" s="4"/>
      <c r="M30" s="4"/>
      <c r="N30" s="4"/>
      <c r="O30" s="4"/>
      <c r="P30" s="4"/>
      <c r="Q30" s="4"/>
      <c r="R30" s="4"/>
      <c r="S30" s="4"/>
    </row>
    <row r="31" spans="1:19" x14ac:dyDescent="0.2">
      <c r="A31">
        <f>G33*$G$1</f>
        <v>1000</v>
      </c>
      <c r="B31">
        <f t="shared" si="0"/>
        <v>0</v>
      </c>
      <c r="C31">
        <f>H33*$G$1</f>
        <v>-28</v>
      </c>
      <c r="G31" s="5">
        <v>0.3</v>
      </c>
      <c r="H31" s="5">
        <v>-2.2599999999999999E-2</v>
      </c>
      <c r="I31" s="5">
        <v>0</v>
      </c>
      <c r="L31" s="4"/>
      <c r="M31" s="4"/>
      <c r="N31" s="4"/>
      <c r="O31" s="4"/>
      <c r="P31" s="4"/>
      <c r="Q31" s="4"/>
      <c r="R31" s="4"/>
      <c r="S31" s="4"/>
    </row>
    <row r="32" spans="1:19" x14ac:dyDescent="0.2">
      <c r="A32">
        <f>G34*$G$1</f>
        <v>1200</v>
      </c>
      <c r="B32">
        <f t="shared" si="0"/>
        <v>0</v>
      </c>
      <c r="C32">
        <f>H34*$G$1</f>
        <v>-20</v>
      </c>
      <c r="G32" s="5">
        <v>0.4</v>
      </c>
      <c r="H32" s="5">
        <v>-1.7999999999999999E-2</v>
      </c>
      <c r="I32" s="5">
        <v>0</v>
      </c>
      <c r="L32" s="4"/>
      <c r="M32" s="4"/>
      <c r="N32" s="4"/>
      <c r="O32" s="4"/>
      <c r="P32" s="4"/>
      <c r="Q32" s="4"/>
      <c r="R32" s="4"/>
      <c r="S32" s="4"/>
    </row>
    <row r="33" spans="1:19" x14ac:dyDescent="0.2">
      <c r="A33">
        <f>G35*$G$1</f>
        <v>1400</v>
      </c>
      <c r="B33">
        <f t="shared" si="0"/>
        <v>0</v>
      </c>
      <c r="C33">
        <f>H35*$G$1</f>
        <v>-13</v>
      </c>
      <c r="G33" s="5">
        <v>0.5</v>
      </c>
      <c r="H33" s="5">
        <v>-1.4E-2</v>
      </c>
      <c r="I33" s="5">
        <v>0</v>
      </c>
      <c r="L33" s="4"/>
      <c r="M33" s="4"/>
      <c r="N33" s="4"/>
      <c r="O33" s="4"/>
      <c r="P33" s="4"/>
      <c r="Q33" s="4"/>
      <c r="R33" s="4"/>
      <c r="S33" s="4"/>
    </row>
    <row r="34" spans="1:19" x14ac:dyDescent="0.2">
      <c r="A34">
        <f>G36*$G$1</f>
        <v>1600</v>
      </c>
      <c r="B34">
        <f t="shared" si="0"/>
        <v>0</v>
      </c>
      <c r="C34">
        <f>H36*$G$1</f>
        <v>-7.8</v>
      </c>
      <c r="G34" s="5">
        <v>0.6</v>
      </c>
      <c r="H34" s="5">
        <v>-0.01</v>
      </c>
      <c r="I34" s="5">
        <v>0</v>
      </c>
      <c r="L34" s="4"/>
      <c r="M34" s="4"/>
      <c r="N34" s="4"/>
      <c r="O34" s="4"/>
      <c r="P34" s="4"/>
      <c r="Q34" s="4"/>
      <c r="R34" s="4"/>
      <c r="S34" s="4"/>
    </row>
    <row r="35" spans="1:19" x14ac:dyDescent="0.2">
      <c r="A35">
        <f>G37*$G$1</f>
        <v>1800</v>
      </c>
      <c r="B35">
        <f t="shared" si="0"/>
        <v>0</v>
      </c>
      <c r="C35">
        <f>H37*$G$1</f>
        <v>-4.4000000000000004</v>
      </c>
      <c r="G35" s="5">
        <v>0.7</v>
      </c>
      <c r="H35" s="5">
        <v>-6.4999999999999997E-3</v>
      </c>
      <c r="I35" s="5">
        <v>0</v>
      </c>
      <c r="L35" s="4"/>
      <c r="M35" s="4"/>
      <c r="N35" s="4"/>
      <c r="O35" s="4"/>
      <c r="P35" s="4"/>
      <c r="Q35" s="4"/>
      <c r="R35" s="4"/>
      <c r="S35" s="4"/>
    </row>
    <row r="36" spans="1:19" x14ac:dyDescent="0.2">
      <c r="A36">
        <f>G38*$G$1</f>
        <v>1900</v>
      </c>
      <c r="B36">
        <f t="shared" si="0"/>
        <v>0</v>
      </c>
      <c r="C36">
        <f>H38*$G$1</f>
        <v>-3.2</v>
      </c>
      <c r="G36" s="5">
        <v>0.8</v>
      </c>
      <c r="H36" s="5">
        <v>-3.8999999999999998E-3</v>
      </c>
      <c r="I36" s="5">
        <v>0</v>
      </c>
    </row>
    <row r="37" spans="1:19" x14ac:dyDescent="0.2">
      <c r="A37">
        <f>G39*$G$1</f>
        <v>2000</v>
      </c>
      <c r="B37">
        <f t="shared" si="0"/>
        <v>0</v>
      </c>
      <c r="C37">
        <f>H39*$G$1</f>
        <v>-2.6</v>
      </c>
      <c r="G37" s="5">
        <v>0.9</v>
      </c>
      <c r="H37" s="5">
        <v>-2.2000000000000001E-3</v>
      </c>
      <c r="I37" s="5">
        <v>0</v>
      </c>
      <c r="L37" t="s">
        <v>21</v>
      </c>
      <c r="M37" s="6" t="s">
        <v>19</v>
      </c>
    </row>
    <row r="38" spans="1:19" x14ac:dyDescent="0.2">
      <c r="A38" s="1" t="s">
        <v>1</v>
      </c>
      <c r="G38" s="5">
        <v>0.95</v>
      </c>
      <c r="H38" s="5">
        <v>-1.6000000000000001E-3</v>
      </c>
      <c r="I38" s="5">
        <v>0</v>
      </c>
      <c r="M38" s="6" t="s">
        <v>20</v>
      </c>
    </row>
    <row r="39" spans="1:19" x14ac:dyDescent="0.2">
      <c r="A39" t="s">
        <v>0</v>
      </c>
      <c r="G39" s="5">
        <v>1</v>
      </c>
      <c r="H39" s="5">
        <v>-1.2999999999999999E-3</v>
      </c>
      <c r="I39" s="5">
        <v>0</v>
      </c>
    </row>
    <row r="40" spans="1:19" x14ac:dyDescent="0.2">
      <c r="A40">
        <f>(G5*$G$2)+$K$2</f>
        <v>2000</v>
      </c>
      <c r="B40">
        <f>$I$2</f>
        <v>2000</v>
      </c>
      <c r="C40">
        <f>H5*$G$2</f>
        <v>2.08</v>
      </c>
    </row>
    <row r="41" spans="1:19" x14ac:dyDescent="0.2">
      <c r="A41">
        <f t="shared" ref="A41:A74" si="1">(G6*$G$2)+$K$2</f>
        <v>1920</v>
      </c>
      <c r="B41">
        <f t="shared" ref="B41:B74" si="2">$I$2</f>
        <v>2000</v>
      </c>
      <c r="C41">
        <f t="shared" ref="C41:C74" si="3">H6*$G$2</f>
        <v>23.52</v>
      </c>
    </row>
    <row r="42" spans="1:19" x14ac:dyDescent="0.2">
      <c r="A42">
        <f t="shared" si="1"/>
        <v>1840</v>
      </c>
      <c r="B42">
        <f t="shared" si="2"/>
        <v>2000</v>
      </c>
      <c r="C42">
        <f t="shared" si="3"/>
        <v>43.36</v>
      </c>
    </row>
    <row r="43" spans="1:19" x14ac:dyDescent="0.2">
      <c r="A43">
        <f t="shared" si="1"/>
        <v>1680</v>
      </c>
      <c r="B43">
        <f t="shared" si="2"/>
        <v>2000</v>
      </c>
      <c r="C43">
        <f t="shared" si="3"/>
        <v>78.239999999999995</v>
      </c>
    </row>
    <row r="44" spans="1:19" x14ac:dyDescent="0.2">
      <c r="A44">
        <f t="shared" si="1"/>
        <v>1520</v>
      </c>
      <c r="B44">
        <f t="shared" si="2"/>
        <v>2000</v>
      </c>
      <c r="C44">
        <f t="shared" si="3"/>
        <v>107.04</v>
      </c>
    </row>
    <row r="45" spans="1:19" x14ac:dyDescent="0.2">
      <c r="A45">
        <f t="shared" si="1"/>
        <v>1360</v>
      </c>
      <c r="B45">
        <f t="shared" si="2"/>
        <v>2000</v>
      </c>
      <c r="C45">
        <f t="shared" si="3"/>
        <v>130.24</v>
      </c>
    </row>
    <row r="46" spans="1:19" x14ac:dyDescent="0.2">
      <c r="A46">
        <f t="shared" si="1"/>
        <v>1200</v>
      </c>
      <c r="B46">
        <f t="shared" si="2"/>
        <v>2000</v>
      </c>
      <c r="C46">
        <f t="shared" si="3"/>
        <v>147.04</v>
      </c>
    </row>
    <row r="47" spans="1:19" x14ac:dyDescent="0.2">
      <c r="A47">
        <f t="shared" si="1"/>
        <v>1040</v>
      </c>
      <c r="B47">
        <f t="shared" si="2"/>
        <v>2000</v>
      </c>
      <c r="C47">
        <f t="shared" si="3"/>
        <v>156.80000000000001</v>
      </c>
    </row>
    <row r="48" spans="1:19" x14ac:dyDescent="0.2">
      <c r="A48">
        <f t="shared" si="1"/>
        <v>880</v>
      </c>
      <c r="B48">
        <f t="shared" si="2"/>
        <v>2000</v>
      </c>
      <c r="C48">
        <f t="shared" si="3"/>
        <v>156.16</v>
      </c>
    </row>
    <row r="49" spans="1:3" x14ac:dyDescent="0.2">
      <c r="A49">
        <f t="shared" si="1"/>
        <v>800</v>
      </c>
      <c r="B49">
        <f t="shared" si="2"/>
        <v>2000</v>
      </c>
      <c r="C49">
        <f t="shared" si="3"/>
        <v>150.56</v>
      </c>
    </row>
    <row r="50" spans="1:3" x14ac:dyDescent="0.2">
      <c r="A50">
        <f t="shared" si="1"/>
        <v>720</v>
      </c>
      <c r="B50">
        <f t="shared" si="2"/>
        <v>2000</v>
      </c>
      <c r="C50">
        <f t="shared" si="3"/>
        <v>140.79999999999998</v>
      </c>
    </row>
    <row r="51" spans="1:3" x14ac:dyDescent="0.2">
      <c r="A51">
        <f t="shared" si="1"/>
        <v>640</v>
      </c>
      <c r="B51">
        <f t="shared" si="2"/>
        <v>2000</v>
      </c>
      <c r="C51">
        <f t="shared" si="3"/>
        <v>126.24</v>
      </c>
    </row>
    <row r="52" spans="1:3" x14ac:dyDescent="0.2">
      <c r="A52">
        <f t="shared" si="1"/>
        <v>560</v>
      </c>
      <c r="B52">
        <f t="shared" si="2"/>
        <v>2000</v>
      </c>
      <c r="C52">
        <f t="shared" si="3"/>
        <v>105.44</v>
      </c>
    </row>
    <row r="53" spans="1:3" x14ac:dyDescent="0.2">
      <c r="A53">
        <f t="shared" si="1"/>
        <v>520</v>
      </c>
      <c r="B53">
        <f t="shared" si="2"/>
        <v>2000</v>
      </c>
      <c r="C53">
        <f t="shared" si="3"/>
        <v>92.16</v>
      </c>
    </row>
    <row r="54" spans="1:3" x14ac:dyDescent="0.2">
      <c r="A54">
        <f t="shared" si="1"/>
        <v>480</v>
      </c>
      <c r="B54">
        <f t="shared" si="2"/>
        <v>2000</v>
      </c>
      <c r="C54">
        <f t="shared" si="3"/>
        <v>75.680000000000007</v>
      </c>
    </row>
    <row r="55" spans="1:3" x14ac:dyDescent="0.2">
      <c r="A55">
        <f t="shared" si="1"/>
        <v>440</v>
      </c>
      <c r="B55">
        <f t="shared" si="2"/>
        <v>2000</v>
      </c>
      <c r="C55">
        <f t="shared" si="3"/>
        <v>54.24</v>
      </c>
    </row>
    <row r="56" spans="1:3" x14ac:dyDescent="0.2">
      <c r="A56">
        <f t="shared" si="1"/>
        <v>420</v>
      </c>
      <c r="B56">
        <f t="shared" si="2"/>
        <v>2000</v>
      </c>
      <c r="C56">
        <f t="shared" si="3"/>
        <v>39.04</v>
      </c>
    </row>
    <row r="57" spans="1:3" x14ac:dyDescent="0.2">
      <c r="A57">
        <f t="shared" si="1"/>
        <v>400</v>
      </c>
      <c r="B57">
        <f t="shared" si="2"/>
        <v>2000</v>
      </c>
      <c r="C57">
        <f t="shared" si="3"/>
        <v>0</v>
      </c>
    </row>
    <row r="58" spans="1:3" x14ac:dyDescent="0.2">
      <c r="A58">
        <f t="shared" si="1"/>
        <v>420</v>
      </c>
      <c r="B58">
        <f t="shared" si="2"/>
        <v>2000</v>
      </c>
      <c r="C58">
        <f t="shared" si="3"/>
        <v>-22.88</v>
      </c>
    </row>
    <row r="59" spans="1:3" x14ac:dyDescent="0.2">
      <c r="A59">
        <f t="shared" si="1"/>
        <v>440</v>
      </c>
      <c r="B59">
        <f t="shared" si="2"/>
        <v>2000</v>
      </c>
      <c r="C59">
        <f t="shared" si="3"/>
        <v>-31.2</v>
      </c>
    </row>
    <row r="60" spans="1:3" x14ac:dyDescent="0.2">
      <c r="A60">
        <f t="shared" si="1"/>
        <v>480</v>
      </c>
      <c r="B60">
        <f t="shared" si="2"/>
        <v>2000</v>
      </c>
      <c r="C60">
        <f t="shared" si="3"/>
        <v>-39.839999999999996</v>
      </c>
    </row>
    <row r="61" spans="1:3" x14ac:dyDescent="0.2">
      <c r="A61">
        <f t="shared" si="1"/>
        <v>520</v>
      </c>
      <c r="B61">
        <f t="shared" si="2"/>
        <v>2000</v>
      </c>
      <c r="C61">
        <f t="shared" si="3"/>
        <v>-43.84</v>
      </c>
    </row>
    <row r="62" spans="1:3" x14ac:dyDescent="0.2">
      <c r="A62">
        <f t="shared" si="1"/>
        <v>560</v>
      </c>
      <c r="B62">
        <f t="shared" si="2"/>
        <v>2000</v>
      </c>
      <c r="C62">
        <f t="shared" si="3"/>
        <v>-45.76</v>
      </c>
    </row>
    <row r="63" spans="1:3" x14ac:dyDescent="0.2">
      <c r="A63">
        <f t="shared" si="1"/>
        <v>640</v>
      </c>
      <c r="B63">
        <f t="shared" si="2"/>
        <v>2000</v>
      </c>
      <c r="C63">
        <f t="shared" si="3"/>
        <v>-46.08</v>
      </c>
    </row>
    <row r="64" spans="1:3" x14ac:dyDescent="0.2">
      <c r="A64">
        <f t="shared" si="1"/>
        <v>720</v>
      </c>
      <c r="B64">
        <f t="shared" si="2"/>
        <v>2000</v>
      </c>
      <c r="C64">
        <f t="shared" si="3"/>
        <v>-43.84</v>
      </c>
    </row>
    <row r="65" spans="1:3" x14ac:dyDescent="0.2">
      <c r="A65">
        <f t="shared" si="1"/>
        <v>800</v>
      </c>
      <c r="B65">
        <f t="shared" si="2"/>
        <v>2000</v>
      </c>
      <c r="C65">
        <f t="shared" si="3"/>
        <v>-40</v>
      </c>
    </row>
    <row r="66" spans="1:3" x14ac:dyDescent="0.2">
      <c r="A66">
        <f t="shared" si="1"/>
        <v>880</v>
      </c>
      <c r="B66">
        <f t="shared" si="2"/>
        <v>2000</v>
      </c>
      <c r="C66">
        <f t="shared" si="3"/>
        <v>-36.159999999999997</v>
      </c>
    </row>
    <row r="67" spans="1:3" x14ac:dyDescent="0.2">
      <c r="A67">
        <f t="shared" si="1"/>
        <v>1040</v>
      </c>
      <c r="B67">
        <f t="shared" si="2"/>
        <v>2000</v>
      </c>
      <c r="C67">
        <f t="shared" si="3"/>
        <v>-28.799999999999997</v>
      </c>
    </row>
    <row r="68" spans="1:3" x14ac:dyDescent="0.2">
      <c r="A68">
        <f t="shared" si="1"/>
        <v>1200</v>
      </c>
      <c r="B68">
        <f t="shared" si="2"/>
        <v>2000</v>
      </c>
      <c r="C68">
        <f t="shared" si="3"/>
        <v>-22.400000000000002</v>
      </c>
    </row>
    <row r="69" spans="1:3" x14ac:dyDescent="0.2">
      <c r="A69">
        <f t="shared" si="1"/>
        <v>1360</v>
      </c>
      <c r="B69">
        <f t="shared" si="2"/>
        <v>2000</v>
      </c>
      <c r="C69">
        <f t="shared" si="3"/>
        <v>-16</v>
      </c>
    </row>
    <row r="70" spans="1:3" x14ac:dyDescent="0.2">
      <c r="A70">
        <f t="shared" si="1"/>
        <v>1520</v>
      </c>
      <c r="B70">
        <f t="shared" si="2"/>
        <v>2000</v>
      </c>
      <c r="C70">
        <f t="shared" si="3"/>
        <v>-10.4</v>
      </c>
    </row>
    <row r="71" spans="1:3" x14ac:dyDescent="0.2">
      <c r="A71">
        <f t="shared" si="1"/>
        <v>1680</v>
      </c>
      <c r="B71">
        <f t="shared" si="2"/>
        <v>2000</v>
      </c>
      <c r="C71">
        <f t="shared" si="3"/>
        <v>-6.2399999999999993</v>
      </c>
    </row>
    <row r="72" spans="1:3" x14ac:dyDescent="0.2">
      <c r="A72">
        <f t="shared" si="1"/>
        <v>1840</v>
      </c>
      <c r="B72">
        <f t="shared" si="2"/>
        <v>2000</v>
      </c>
      <c r="C72">
        <f t="shared" si="3"/>
        <v>-3.52</v>
      </c>
    </row>
    <row r="73" spans="1:3" x14ac:dyDescent="0.2">
      <c r="A73">
        <f t="shared" si="1"/>
        <v>1920</v>
      </c>
      <c r="B73">
        <f t="shared" si="2"/>
        <v>2000</v>
      </c>
      <c r="C73">
        <f t="shared" si="3"/>
        <v>-2.56</v>
      </c>
    </row>
    <row r="74" spans="1:3" x14ac:dyDescent="0.2">
      <c r="A74">
        <f t="shared" si="1"/>
        <v>2000</v>
      </c>
      <c r="B74">
        <f t="shared" si="2"/>
        <v>2000</v>
      </c>
      <c r="C74">
        <f t="shared" si="3"/>
        <v>-2.08</v>
      </c>
    </row>
    <row r="75" spans="1:3" x14ac:dyDescent="0.2">
      <c r="A75" s="1" t="s">
        <v>1</v>
      </c>
    </row>
    <row r="76" spans="1:3" x14ac:dyDescent="0.2">
      <c r="A76" t="s">
        <v>0</v>
      </c>
    </row>
    <row r="77" spans="1:3" x14ac:dyDescent="0.2">
      <c r="A77">
        <f>(G5*$G$3)+$K$3</f>
        <v>2000</v>
      </c>
      <c r="B77">
        <f>$I$3</f>
        <v>5000</v>
      </c>
      <c r="C77">
        <f>H5*$G$3</f>
        <v>1.3</v>
      </c>
    </row>
    <row r="78" spans="1:3" x14ac:dyDescent="0.2">
      <c r="A78">
        <f t="shared" ref="A78:A111" si="4">(G6*$G$3)+$K$3</f>
        <v>1950</v>
      </c>
      <c r="B78">
        <f t="shared" ref="B78:B114" si="5">$I$3</f>
        <v>5000</v>
      </c>
      <c r="C78">
        <f t="shared" ref="C78:C114" si="6">H6*$G$3</f>
        <v>14.7</v>
      </c>
    </row>
    <row r="79" spans="1:3" x14ac:dyDescent="0.2">
      <c r="A79">
        <f t="shared" si="4"/>
        <v>1900</v>
      </c>
      <c r="B79">
        <f t="shared" si="5"/>
        <v>5000</v>
      </c>
      <c r="C79">
        <f t="shared" si="6"/>
        <v>27.099999999999998</v>
      </c>
    </row>
    <row r="80" spans="1:3" x14ac:dyDescent="0.2">
      <c r="A80">
        <f t="shared" si="4"/>
        <v>1800</v>
      </c>
      <c r="B80">
        <f t="shared" si="5"/>
        <v>5000</v>
      </c>
      <c r="C80">
        <f t="shared" si="6"/>
        <v>48.9</v>
      </c>
    </row>
    <row r="81" spans="1:3" x14ac:dyDescent="0.2">
      <c r="A81">
        <f t="shared" si="4"/>
        <v>1700</v>
      </c>
      <c r="B81">
        <f t="shared" si="5"/>
        <v>5000</v>
      </c>
      <c r="C81">
        <f t="shared" si="6"/>
        <v>66.900000000000006</v>
      </c>
    </row>
    <row r="82" spans="1:3" x14ac:dyDescent="0.2">
      <c r="A82">
        <f t="shared" si="4"/>
        <v>1600</v>
      </c>
      <c r="B82">
        <f t="shared" si="5"/>
        <v>5000</v>
      </c>
      <c r="C82">
        <f t="shared" si="6"/>
        <v>81.400000000000006</v>
      </c>
    </row>
    <row r="83" spans="1:3" x14ac:dyDescent="0.2">
      <c r="A83">
        <f t="shared" si="4"/>
        <v>1500</v>
      </c>
      <c r="B83">
        <f t="shared" si="5"/>
        <v>5000</v>
      </c>
      <c r="C83">
        <f t="shared" si="6"/>
        <v>91.899999999999991</v>
      </c>
    </row>
    <row r="84" spans="1:3" x14ac:dyDescent="0.2">
      <c r="A84">
        <f t="shared" si="4"/>
        <v>1400</v>
      </c>
      <c r="B84">
        <f t="shared" si="5"/>
        <v>5000</v>
      </c>
      <c r="C84">
        <f t="shared" si="6"/>
        <v>98</v>
      </c>
    </row>
    <row r="85" spans="1:3" x14ac:dyDescent="0.2">
      <c r="A85">
        <f t="shared" si="4"/>
        <v>1300</v>
      </c>
      <c r="B85">
        <f t="shared" si="5"/>
        <v>5000</v>
      </c>
      <c r="C85">
        <f t="shared" si="6"/>
        <v>97.600000000000009</v>
      </c>
    </row>
    <row r="86" spans="1:3" x14ac:dyDescent="0.2">
      <c r="A86">
        <f t="shared" si="4"/>
        <v>1250</v>
      </c>
      <c r="B86">
        <f t="shared" si="5"/>
        <v>5000</v>
      </c>
      <c r="C86">
        <f t="shared" si="6"/>
        <v>94.100000000000009</v>
      </c>
    </row>
    <row r="87" spans="1:3" x14ac:dyDescent="0.2">
      <c r="A87">
        <f t="shared" si="4"/>
        <v>1200</v>
      </c>
      <c r="B87">
        <f t="shared" si="5"/>
        <v>5000</v>
      </c>
      <c r="C87">
        <f t="shared" si="6"/>
        <v>88</v>
      </c>
    </row>
    <row r="88" spans="1:3" x14ac:dyDescent="0.2">
      <c r="A88">
        <f t="shared" si="4"/>
        <v>1150</v>
      </c>
      <c r="B88">
        <f t="shared" si="5"/>
        <v>5000</v>
      </c>
      <c r="C88">
        <f t="shared" si="6"/>
        <v>78.899999999999991</v>
      </c>
    </row>
    <row r="89" spans="1:3" x14ac:dyDescent="0.2">
      <c r="A89">
        <f t="shared" si="4"/>
        <v>1100</v>
      </c>
      <c r="B89">
        <f t="shared" si="5"/>
        <v>5000</v>
      </c>
      <c r="C89">
        <f t="shared" si="6"/>
        <v>65.900000000000006</v>
      </c>
    </row>
    <row r="90" spans="1:3" x14ac:dyDescent="0.2">
      <c r="A90">
        <f t="shared" si="4"/>
        <v>1075</v>
      </c>
      <c r="B90">
        <f t="shared" si="5"/>
        <v>5000</v>
      </c>
      <c r="C90">
        <f t="shared" si="6"/>
        <v>57.6</v>
      </c>
    </row>
    <row r="91" spans="1:3" x14ac:dyDescent="0.2">
      <c r="A91">
        <f t="shared" si="4"/>
        <v>1050</v>
      </c>
      <c r="B91">
        <f t="shared" si="5"/>
        <v>5000</v>
      </c>
      <c r="C91">
        <f t="shared" si="6"/>
        <v>47.300000000000004</v>
      </c>
    </row>
    <row r="92" spans="1:3" x14ac:dyDescent="0.2">
      <c r="A92">
        <f t="shared" si="4"/>
        <v>1025</v>
      </c>
      <c r="B92">
        <f t="shared" si="5"/>
        <v>5000</v>
      </c>
      <c r="C92">
        <f t="shared" si="6"/>
        <v>33.9</v>
      </c>
    </row>
    <row r="93" spans="1:3" x14ac:dyDescent="0.2">
      <c r="A93">
        <f t="shared" si="4"/>
        <v>1012.5</v>
      </c>
      <c r="B93">
        <f t="shared" si="5"/>
        <v>5000</v>
      </c>
      <c r="C93">
        <f t="shared" si="6"/>
        <v>24.400000000000002</v>
      </c>
    </row>
    <row r="94" spans="1:3" x14ac:dyDescent="0.2">
      <c r="A94">
        <f t="shared" si="4"/>
        <v>1000</v>
      </c>
      <c r="B94">
        <f t="shared" si="5"/>
        <v>5000</v>
      </c>
      <c r="C94">
        <f t="shared" si="6"/>
        <v>0</v>
      </c>
    </row>
    <row r="95" spans="1:3" x14ac:dyDescent="0.2">
      <c r="A95">
        <f t="shared" si="4"/>
        <v>1012.5</v>
      </c>
      <c r="B95">
        <f t="shared" si="5"/>
        <v>5000</v>
      </c>
      <c r="C95">
        <f t="shared" si="6"/>
        <v>-14.3</v>
      </c>
    </row>
    <row r="96" spans="1:3" x14ac:dyDescent="0.2">
      <c r="A96">
        <f t="shared" si="4"/>
        <v>1025</v>
      </c>
      <c r="B96">
        <f t="shared" si="5"/>
        <v>5000</v>
      </c>
      <c r="C96">
        <f t="shared" si="6"/>
        <v>-19.5</v>
      </c>
    </row>
    <row r="97" spans="1:3" x14ac:dyDescent="0.2">
      <c r="A97">
        <f t="shared" si="4"/>
        <v>1050</v>
      </c>
      <c r="B97">
        <f t="shared" si="5"/>
        <v>5000</v>
      </c>
      <c r="C97">
        <f t="shared" si="6"/>
        <v>-24.9</v>
      </c>
    </row>
    <row r="98" spans="1:3" x14ac:dyDescent="0.2">
      <c r="A98">
        <f t="shared" si="4"/>
        <v>1075</v>
      </c>
      <c r="B98">
        <f t="shared" si="5"/>
        <v>5000</v>
      </c>
      <c r="C98">
        <f t="shared" si="6"/>
        <v>-27.400000000000002</v>
      </c>
    </row>
    <row r="99" spans="1:3" x14ac:dyDescent="0.2">
      <c r="A99">
        <f t="shared" si="4"/>
        <v>1100</v>
      </c>
      <c r="B99">
        <f t="shared" si="5"/>
        <v>5000</v>
      </c>
      <c r="C99">
        <f t="shared" si="6"/>
        <v>-28.6</v>
      </c>
    </row>
    <row r="100" spans="1:3" x14ac:dyDescent="0.2">
      <c r="A100">
        <f t="shared" si="4"/>
        <v>1150</v>
      </c>
      <c r="B100">
        <f t="shared" si="5"/>
        <v>5000</v>
      </c>
      <c r="C100">
        <f t="shared" si="6"/>
        <v>-28.8</v>
      </c>
    </row>
    <row r="101" spans="1:3" x14ac:dyDescent="0.2">
      <c r="A101">
        <f t="shared" si="4"/>
        <v>1200</v>
      </c>
      <c r="B101">
        <f t="shared" si="5"/>
        <v>5000</v>
      </c>
      <c r="C101">
        <f t="shared" si="6"/>
        <v>-27.400000000000002</v>
      </c>
    </row>
    <row r="102" spans="1:3" x14ac:dyDescent="0.2">
      <c r="A102">
        <f t="shared" si="4"/>
        <v>1250</v>
      </c>
      <c r="B102">
        <f t="shared" si="5"/>
        <v>5000</v>
      </c>
      <c r="C102">
        <f t="shared" si="6"/>
        <v>-25</v>
      </c>
    </row>
    <row r="103" spans="1:3" x14ac:dyDescent="0.2">
      <c r="A103">
        <f t="shared" si="4"/>
        <v>1300</v>
      </c>
      <c r="B103">
        <f t="shared" si="5"/>
        <v>5000</v>
      </c>
      <c r="C103">
        <f t="shared" si="6"/>
        <v>-22.599999999999998</v>
      </c>
    </row>
    <row r="104" spans="1:3" x14ac:dyDescent="0.2">
      <c r="A104">
        <f t="shared" si="4"/>
        <v>1400</v>
      </c>
      <c r="B104">
        <f t="shared" si="5"/>
        <v>5000</v>
      </c>
      <c r="C104">
        <f t="shared" si="6"/>
        <v>-18</v>
      </c>
    </row>
    <row r="105" spans="1:3" x14ac:dyDescent="0.2">
      <c r="A105">
        <f t="shared" si="4"/>
        <v>1500</v>
      </c>
      <c r="B105">
        <f t="shared" si="5"/>
        <v>5000</v>
      </c>
      <c r="C105">
        <f t="shared" si="6"/>
        <v>-14</v>
      </c>
    </row>
    <row r="106" spans="1:3" x14ac:dyDescent="0.2">
      <c r="A106">
        <f t="shared" si="4"/>
        <v>1600</v>
      </c>
      <c r="B106">
        <f t="shared" si="5"/>
        <v>5000</v>
      </c>
      <c r="C106">
        <f t="shared" si="6"/>
        <v>-10</v>
      </c>
    </row>
    <row r="107" spans="1:3" x14ac:dyDescent="0.2">
      <c r="A107">
        <f t="shared" si="4"/>
        <v>1700</v>
      </c>
      <c r="B107">
        <f t="shared" si="5"/>
        <v>5000</v>
      </c>
      <c r="C107">
        <f t="shared" si="6"/>
        <v>-6.5</v>
      </c>
    </row>
    <row r="108" spans="1:3" x14ac:dyDescent="0.2">
      <c r="A108">
        <f t="shared" si="4"/>
        <v>1800</v>
      </c>
      <c r="B108">
        <f t="shared" si="5"/>
        <v>5000</v>
      </c>
      <c r="C108">
        <f t="shared" si="6"/>
        <v>-3.9</v>
      </c>
    </row>
    <row r="109" spans="1:3" x14ac:dyDescent="0.2">
      <c r="A109">
        <f t="shared" si="4"/>
        <v>1900</v>
      </c>
      <c r="B109">
        <f t="shared" si="5"/>
        <v>5000</v>
      </c>
      <c r="C109">
        <f t="shared" si="6"/>
        <v>-2.2000000000000002</v>
      </c>
    </row>
    <row r="110" spans="1:3" x14ac:dyDescent="0.2">
      <c r="A110">
        <f t="shared" si="4"/>
        <v>1950</v>
      </c>
      <c r="B110">
        <f t="shared" si="5"/>
        <v>5000</v>
      </c>
      <c r="C110">
        <f t="shared" si="6"/>
        <v>-1.6</v>
      </c>
    </row>
    <row r="111" spans="1:3" x14ac:dyDescent="0.2">
      <c r="A111">
        <f t="shared" si="4"/>
        <v>2000</v>
      </c>
      <c r="B111">
        <f t="shared" si="5"/>
        <v>5000</v>
      </c>
      <c r="C111">
        <f t="shared" si="6"/>
        <v>-1.3</v>
      </c>
    </row>
    <row r="112" spans="1:3" x14ac:dyDescent="0.2">
      <c r="A112" s="1" t="s">
        <v>1</v>
      </c>
    </row>
    <row r="113" spans="1:1" x14ac:dyDescent="0.2">
      <c r="A113" t="s">
        <v>3</v>
      </c>
    </row>
    <row r="114" spans="1:1" x14ac:dyDescent="0.2">
      <c r="A114" t="s">
        <v>4</v>
      </c>
    </row>
  </sheetData>
  <mergeCells count="3">
    <mergeCell ref="L1:R5"/>
    <mergeCell ref="L8:S35"/>
    <mergeCell ref="L7:M7"/>
  </mergeCells>
  <phoneticPr fontId="0" type="noConversion"/>
  <hyperlinks>
    <hyperlink ref="O7" r:id="rId1" xr:uid="{7A1940D5-2C48-47DE-A7DA-9604222D4D23}"/>
    <hyperlink ref="M37" r:id="rId2" xr:uid="{43350DC1-FDB9-4B69-9BFA-94C1497352BD}"/>
    <hyperlink ref="M38" r:id="rId3" xr:uid="{540205C0-92D1-4D90-9C44-B3384DA9D5EC}"/>
  </hyperlinks>
  <pageMargins left="0.75" right="0.75" top="1" bottom="1" header="0.4921259845" footer="0.4921259845"/>
  <pageSetup paperSize="9" orientation="portrait" r:id="rId4"/>
  <headerFooter alignWithMargins="0"/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G1:L1"/>
  <sheetViews>
    <sheetView workbookViewId="0">
      <selection activeCell="G1" sqref="G1:L37"/>
    </sheetView>
  </sheetViews>
  <sheetFormatPr defaultColWidth="11.42578125" defaultRowHeight="12.75" x14ac:dyDescent="0.2"/>
  <sheetData>
    <row r="1" spans="7:12" x14ac:dyDescent="0.2">
      <c r="G1" s="2"/>
      <c r="H1" s="3"/>
      <c r="I1" s="2"/>
      <c r="J1" s="3"/>
      <c r="K1" s="2"/>
      <c r="L1" s="3"/>
    </row>
  </sheetData>
  <phoneticPr fontId="0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1.42578125" defaultRowHeight="12.75" x14ac:dyDescent="0.2"/>
  <sheetData/>
  <phoneticPr fontId="0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Dassault Systemes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PFS</dc:creator>
  <cp:lastModifiedBy>AbdulHafeez S.</cp:lastModifiedBy>
  <dcterms:created xsi:type="dcterms:W3CDTF">2000-07-07T10:41:33Z</dcterms:created>
  <dcterms:modified xsi:type="dcterms:W3CDTF">2022-12-15T10:02:10Z</dcterms:modified>
</cp:coreProperties>
</file>